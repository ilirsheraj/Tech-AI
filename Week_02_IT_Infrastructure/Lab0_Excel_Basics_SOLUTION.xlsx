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ractice" sheetId="2" state="visible" r:id="rId4"/>
    <sheet name="My budget" sheetId="3" state="visible" r:id="rId5"/>
    <sheet name="Shop sal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<sst xmlns="http://schemas.openxmlformats.org/spreadsheetml/2006/main" count="87" uniqueCount="56">
  <si>
    <t xml:space="preserve">Lab 0 – Excel basics: your first spreadsheet</t>
  </si>
  <si>
    <t xml:space="preserve">INF131 Technology and Artificial Intelligence</t>
  </si>
  <si>
    <t xml:space="preserve">Excel is a big grid of boxes called cells. You type numbers and text into cells, and Excel does the maths for you.</t>
  </si>
  <si>
    <t xml:space="preserve">Colour legend</t>
  </si>
  <si>
    <t xml:space="preserve">Yellow cells = you type something here (data or a formula)</t>
  </si>
  <si>
    <t xml:space="preserve">Blue text = data already given to you</t>
  </si>
  <si>
    <t xml:space="preserve">Sheets in this file (click the tabs at the bottom of the screen)</t>
  </si>
  <si>
    <t xml:space="preserve">Practice – your first clicks and your first formula</t>
  </si>
  <si>
    <t xml:space="preserve">My budget – type a monthly student budget and add it up</t>
  </si>
  <si>
    <t xml:space="preserve">Shop sales – a data table: calculate revenue, then sort, filter and summarise</t>
  </si>
  <si>
    <t xml:space="preserve">Follow the worksheet one step at a time. Save often with Ctrl+S.</t>
  </si>
  <si>
    <t xml:space="preserve">Part A: type here</t>
  </si>
  <si>
    <t xml:space="preserve">← =A1+A2+A3</t>
  </si>
  <si>
    <t xml:space="preserve">My monthly budget</t>
  </si>
  <si>
    <t xml:space="preserve">Income</t>
  </si>
  <si>
    <t xml:space="preserve">Amount (EUR)</t>
  </si>
  <si>
    <t xml:space="preserve">Part-time job</t>
  </si>
  <si>
    <t xml:space="preserve">Family support</t>
  </si>
  <si>
    <t xml:space="preserve">Total income</t>
  </si>
  <si>
    <t xml:space="preserve">Expenses</t>
  </si>
  <si>
    <t xml:space="preserve">Rent</t>
  </si>
  <si>
    <t xml:space="preserve">Food</t>
  </si>
  <si>
    <t xml:space="preserve">Transport</t>
  </si>
  <si>
    <t xml:space="preserve">Phone</t>
  </si>
  <si>
    <t xml:space="preserve">Books</t>
  </si>
  <si>
    <t xml:space="preserve">Coffee and snacks</t>
  </si>
  <si>
    <t xml:space="preserve">Going out</t>
  </si>
  <si>
    <t xml:space="preserve">Total expenses</t>
  </si>
  <si>
    <t xml:space="preserve">Money left at the end of the month</t>
  </si>
  <si>
    <t xml:space="preserve">Share of income spent</t>
  </si>
  <si>
    <t xml:space="preserve">Biggest expense</t>
  </si>
  <si>
    <t xml:space="preserve">Average expense</t>
  </si>
  <si>
    <t xml:space="preserve">Date</t>
  </si>
  <si>
    <t xml:space="preserve">Product</t>
  </si>
  <si>
    <t xml:space="preserve">Category</t>
  </si>
  <si>
    <t xml:space="preserve">Quantity</t>
  </si>
  <si>
    <t xml:space="preserve">Unit price (EUR)</t>
  </si>
  <si>
    <t xml:space="preserve">Revenue (EUR)</t>
  </si>
  <si>
    <t xml:space="preserve">Summary</t>
  </si>
  <si>
    <t xml:space="preserve">Chocolate bar</t>
  </si>
  <si>
    <t xml:space="preserve">Snacks</t>
  </si>
  <si>
    <t xml:space="preserve">Total revenue</t>
  </si>
  <si>
    <t xml:space="preserve">Notebook</t>
  </si>
  <si>
    <t xml:space="preserve">Stationery</t>
  </si>
  <si>
    <t xml:space="preserve">Average revenue per sale</t>
  </si>
  <si>
    <t xml:space="preserve">Coffee</t>
  </si>
  <si>
    <t xml:space="preserve">Drinks</t>
  </si>
  <si>
    <t xml:space="preserve">Largest sale</t>
  </si>
  <si>
    <t xml:space="preserve">Tea</t>
  </si>
  <si>
    <t xml:space="preserve">Smallest sale</t>
  </si>
  <si>
    <t xml:space="preserve">Number of sales</t>
  </si>
  <si>
    <t xml:space="preserve">Croissant</t>
  </si>
  <si>
    <t xml:space="preserve">Total quantity sold</t>
  </si>
  <si>
    <t xml:space="preserve">Average unit price, rounded</t>
  </si>
  <si>
    <t xml:space="preserve">Water</t>
  </si>
  <si>
    <t xml:space="preserve">Sandwich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</si>
</sst>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€&quot;"/>
    <numFmt numFmtId="166" formatCode="0.0%"/>
    <numFmt numFmtId="167" formatCode="dd/mm/yyyy"/>
    <numFmt numFmtId="168" formatCode="0.00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4C5C"/>
      <name val="Arial"/>
      <family val="0"/>
      <charset val="1"/>
    </font>
    <font>
      <i val="true"/>
      <sz val="11"/>
      <color rgb="FF5E6E7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B3"/>
        <bgColor rgb="FFFFFF99"/>
      </patternFill>
    </fill>
    <fill>
      <patternFill patternType="solid">
        <fgColor rgb="FF0F4C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7"/>
      </left>
      <right style="thin">
        <color rgb="FFC9D3D7"/>
      </right>
      <top style="thin">
        <color rgb="FFC9D3D7"/>
      </top>
      <bottom style="thin">
        <color rgb="FFC9D3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C9D3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E76"/>
      <rgbColor rgb="FF969696"/>
      <rgbColor rgb="FF0F4C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hopSales" displayName="ShopSales" ref="A1:F21" headerRowCount="1" totalsRowCount="0" totalsRowShown="0">
  <autoFilter ref="A1:F21"/>
  <tableColumns count="6">
    <tableColumn id="1" name="Date"/>
    <tableColumn id="2" name="Product"/>
    <tableColumn id="3" name="Category"/>
    <tableColumn id="4" name="Quantity"/>
    <tableColumn id="5" name="Unit price (EUR)"/>
    <tableColumn id="6" name="Revenue (EUR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6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n">
        <v>10</v>
      </c>
      <c r="D1" s="2" t="s">
        <v>11</v>
      </c>
    </row>
    <row r="2" customFormat="false" ht="15" hidden="false" customHeight="false" outlineLevel="0" collapsed="false">
      <c r="A2" s="7" t="n">
        <v>20</v>
      </c>
    </row>
    <row r="3" customFormat="false" ht="15" hidden="false" customHeight="false" outlineLevel="0" collapsed="false">
      <c r="A3" s="7" t="n">
        <v>30</v>
      </c>
    </row>
    <row r="4" customFormat="false" ht="15" hidden="false" customHeight="false" outlineLevel="0" collapsed="false">
      <c r="A4" s="7" t="n">
        <f aca="false">A1+A2+A3</f>
        <v>60</v>
      </c>
      <c r="B4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13</v>
      </c>
    </row>
    <row r="3" customFormat="false" ht="15" hidden="false" customHeight="false" outlineLevel="0" collapsed="false">
      <c r="A3" s="8" t="s">
        <v>14</v>
      </c>
      <c r="B3" s="8" t="s">
        <v>15</v>
      </c>
    </row>
    <row r="4" customFormat="false" ht="15" hidden="false" customHeight="false" outlineLevel="0" collapsed="false">
      <c r="A4" s="9" t="s">
        <v>16</v>
      </c>
      <c r="B4" s="10" t="n">
        <v>450</v>
      </c>
    </row>
    <row r="5" customFormat="false" ht="15" hidden="false" customHeight="false" outlineLevel="0" collapsed="false">
      <c r="A5" s="9" t="s">
        <v>17</v>
      </c>
      <c r="B5" s="10" t="n">
        <v>200</v>
      </c>
    </row>
    <row r="6" customFormat="false" ht="15" hidden="false" customHeight="false" outlineLevel="0" collapsed="false">
      <c r="A6" s="4" t="s">
        <v>18</v>
      </c>
      <c r="B6" s="11" t="n">
        <f aca="false">SUM(B4:B5)</f>
        <v>650</v>
      </c>
    </row>
    <row r="8" customFormat="false" ht="15" hidden="false" customHeight="false" outlineLevel="0" collapsed="false">
      <c r="A8" s="8" t="s">
        <v>19</v>
      </c>
      <c r="B8" s="8" t="s">
        <v>15</v>
      </c>
    </row>
    <row r="9" customFormat="false" ht="15" hidden="false" customHeight="false" outlineLevel="0" collapsed="false">
      <c r="A9" s="9" t="s">
        <v>20</v>
      </c>
      <c r="B9" s="10" t="n">
        <v>250</v>
      </c>
    </row>
    <row r="10" customFormat="false" ht="15" hidden="false" customHeight="false" outlineLevel="0" collapsed="false">
      <c r="A10" s="9" t="s">
        <v>21</v>
      </c>
      <c r="B10" s="10" t="n">
        <v>150</v>
      </c>
    </row>
    <row r="11" customFormat="false" ht="15" hidden="false" customHeight="false" outlineLevel="0" collapsed="false">
      <c r="A11" s="9" t="s">
        <v>22</v>
      </c>
      <c r="B11" s="10" t="n">
        <v>30</v>
      </c>
    </row>
    <row r="12" customFormat="false" ht="15" hidden="false" customHeight="false" outlineLevel="0" collapsed="false">
      <c r="A12" s="9" t="s">
        <v>23</v>
      </c>
      <c r="B12" s="10" t="n">
        <v>15</v>
      </c>
    </row>
    <row r="13" customFormat="false" ht="15" hidden="false" customHeight="false" outlineLevel="0" collapsed="false">
      <c r="A13" s="9" t="s">
        <v>24</v>
      </c>
      <c r="B13" s="10" t="n">
        <v>20</v>
      </c>
    </row>
    <row r="14" customFormat="false" ht="15" hidden="false" customHeight="false" outlineLevel="0" collapsed="false">
      <c r="A14" s="9" t="s">
        <v>25</v>
      </c>
      <c r="B14" s="10" t="n">
        <v>40</v>
      </c>
    </row>
    <row r="15" customFormat="false" ht="15" hidden="false" customHeight="false" outlineLevel="0" collapsed="false">
      <c r="A15" s="9" t="s">
        <v>26</v>
      </c>
      <c r="B15" s="10" t="n">
        <v>50</v>
      </c>
    </row>
    <row r="16" customFormat="false" ht="15" hidden="false" customHeight="false" outlineLevel="0" collapsed="false">
      <c r="A16" s="4" t="s">
        <v>27</v>
      </c>
      <c r="B16" s="11" t="n">
        <f aca="false">SUM(B9:B15)</f>
        <v>555</v>
      </c>
    </row>
    <row r="18" customFormat="false" ht="15" hidden="false" customHeight="false" outlineLevel="0" collapsed="false">
      <c r="A18" s="4" t="s">
        <v>28</v>
      </c>
      <c r="B18" s="11" t="n">
        <f aca="false">B6-B16</f>
        <v>95</v>
      </c>
    </row>
    <row r="19" customFormat="false" ht="15" hidden="false" customHeight="false" outlineLevel="0" collapsed="false">
      <c r="A19" s="4" t="s">
        <v>29</v>
      </c>
      <c r="B19" s="12" t="n">
        <f aca="false">B16/B6</f>
        <v>0.853846153846154</v>
      </c>
    </row>
    <row r="20" customFormat="false" ht="15" hidden="false" customHeight="false" outlineLevel="0" collapsed="false">
      <c r="A20" s="4" t="s">
        <v>30</v>
      </c>
      <c r="B20" s="11" t="n">
        <f aca="false">MAX(B9:B15)</f>
        <v>250</v>
      </c>
    </row>
    <row r="21" customFormat="false" ht="15" hidden="false" customHeight="false" outlineLevel="0" collapsed="false">
      <c r="A21" s="4" t="s">
        <v>31</v>
      </c>
      <c r="B21" s="11" t="n">
        <f aca="false">AVERAGE(B9:B15)</f>
        <v>79.2857142857143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3"/>
    <col collapsed="false" customWidth="true" hidden="false" outlineLevel="0" max="8" min="8" style="0" width="28"/>
    <col collapsed="false" customWidth="true" hidden="false" outlineLevel="0" max="9" min="9" style="0" width="12"/>
  </cols>
  <sheetData>
    <row r="1" customFormat="false" ht="31.5" hidden="false" customHeight="true" outlineLevel="0" collapsed="false">
      <c r="A1" s="13" t="s">
        <v>32</v>
      </c>
      <c r="B1" s="13" t="s">
        <v>33</v>
      </c>
      <c r="C1" s="13" t="s">
        <v>34</v>
      </c>
      <c r="D1" s="13" t="s">
        <v>35</v>
      </c>
      <c r="E1" s="13" t="s">
        <v>36</v>
      </c>
      <c r="F1" s="13" t="s">
        <v>37</v>
      </c>
      <c r="H1" s="8" t="s">
        <v>38</v>
      </c>
      <c r="I1" s="14"/>
    </row>
    <row r="2" customFormat="false" ht="15" hidden="false" customHeight="false" outlineLevel="0" collapsed="false">
      <c r="A2" s="15" t="n">
        <v>46266</v>
      </c>
      <c r="B2" s="16" t="s">
        <v>39</v>
      </c>
      <c r="C2" s="16" t="s">
        <v>40</v>
      </c>
      <c r="D2" s="16" t="n">
        <v>5</v>
      </c>
      <c r="E2" s="17" t="n">
        <v>1</v>
      </c>
      <c r="F2" s="18" t="n">
        <f aca="false">D2*E2</f>
        <v>5</v>
      </c>
      <c r="H2" s="3" t="s">
        <v>41</v>
      </c>
      <c r="I2" s="18" t="n">
        <f aca="false">SUM(F2:F21)</f>
        <v>276.8</v>
      </c>
    </row>
    <row r="3" customFormat="false" ht="15" hidden="false" customHeight="false" outlineLevel="0" collapsed="false">
      <c r="A3" s="15" t="n">
        <v>46266</v>
      </c>
      <c r="B3" s="16" t="s">
        <v>42</v>
      </c>
      <c r="C3" s="16" t="s">
        <v>43</v>
      </c>
      <c r="D3" s="16" t="n">
        <v>21</v>
      </c>
      <c r="E3" s="17" t="n">
        <v>2.5</v>
      </c>
      <c r="F3" s="18" t="n">
        <f aca="false">D3*E3</f>
        <v>52.5</v>
      </c>
      <c r="H3" s="3" t="s">
        <v>44</v>
      </c>
      <c r="I3" s="18" t="n">
        <f aca="false">AVERAGE(F2:F21)</f>
        <v>13.84</v>
      </c>
    </row>
    <row r="4" customFormat="false" ht="15" hidden="false" customHeight="false" outlineLevel="0" collapsed="false">
      <c r="A4" s="15" t="n">
        <v>46267</v>
      </c>
      <c r="B4" s="16" t="s">
        <v>45</v>
      </c>
      <c r="C4" s="16" t="s">
        <v>46</v>
      </c>
      <c r="D4" s="16" t="n">
        <v>3</v>
      </c>
      <c r="E4" s="17" t="n">
        <v>1.2</v>
      </c>
      <c r="F4" s="18" t="n">
        <f aca="false">D4*E4</f>
        <v>3.6</v>
      </c>
      <c r="H4" s="3" t="s">
        <v>47</v>
      </c>
      <c r="I4" s="18" t="n">
        <f aca="false">MAX(F2:F21)</f>
        <v>54</v>
      </c>
    </row>
    <row r="5" customFormat="false" ht="15" hidden="false" customHeight="false" outlineLevel="0" collapsed="false">
      <c r="A5" s="15" t="n">
        <v>46267</v>
      </c>
      <c r="B5" s="16" t="s">
        <v>48</v>
      </c>
      <c r="C5" s="16" t="s">
        <v>46</v>
      </c>
      <c r="D5" s="16" t="n">
        <v>12</v>
      </c>
      <c r="E5" s="17" t="n">
        <v>1</v>
      </c>
      <c r="F5" s="18" t="n">
        <f aca="false">D5*E5</f>
        <v>12</v>
      </c>
      <c r="H5" s="3" t="s">
        <v>49</v>
      </c>
      <c r="I5" s="18" t="n">
        <f aca="false">MIN(F2:F21)</f>
        <v>2</v>
      </c>
    </row>
    <row r="6" customFormat="false" ht="15" hidden="false" customHeight="false" outlineLevel="0" collapsed="false">
      <c r="A6" s="15" t="n">
        <v>46268</v>
      </c>
      <c r="B6" s="16" t="s">
        <v>45</v>
      </c>
      <c r="C6" s="16" t="s">
        <v>46</v>
      </c>
      <c r="D6" s="16" t="n">
        <v>17</v>
      </c>
      <c r="E6" s="17" t="n">
        <v>1.2</v>
      </c>
      <c r="F6" s="18" t="n">
        <f aca="false">D6*E6</f>
        <v>20.4</v>
      </c>
      <c r="H6" s="3" t="s">
        <v>50</v>
      </c>
      <c r="I6" s="19" t="n">
        <f aca="false">COUNT(F2:F21)</f>
        <v>20</v>
      </c>
    </row>
    <row r="7" customFormat="false" ht="15" hidden="false" customHeight="false" outlineLevel="0" collapsed="false">
      <c r="A7" s="15" t="n">
        <v>46268</v>
      </c>
      <c r="B7" s="16" t="s">
        <v>51</v>
      </c>
      <c r="C7" s="16" t="s">
        <v>40</v>
      </c>
      <c r="D7" s="16" t="n">
        <v>2</v>
      </c>
      <c r="E7" s="17" t="n">
        <v>1.5</v>
      </c>
      <c r="F7" s="18" t="n">
        <f aca="false">D7*E7</f>
        <v>3</v>
      </c>
      <c r="H7" s="3" t="s">
        <v>52</v>
      </c>
      <c r="I7" s="19" t="n">
        <f aca="false">SUM(D2:D21)</f>
        <v>181</v>
      </c>
    </row>
    <row r="8" customFormat="false" ht="15" hidden="false" customHeight="false" outlineLevel="0" collapsed="false">
      <c r="A8" s="15" t="n">
        <v>46269</v>
      </c>
      <c r="B8" s="16" t="s">
        <v>48</v>
      </c>
      <c r="C8" s="16" t="s">
        <v>46</v>
      </c>
      <c r="D8" s="16" t="n">
        <v>14</v>
      </c>
      <c r="E8" s="17" t="n">
        <v>1</v>
      </c>
      <c r="F8" s="18" t="n">
        <f aca="false">D8*E8</f>
        <v>14</v>
      </c>
      <c r="H8" s="3" t="s">
        <v>53</v>
      </c>
      <c r="I8" s="18" t="n">
        <f aca="false">ROUND(AVERAGE(E2:E21),2)</f>
        <v>1.56</v>
      </c>
    </row>
    <row r="9" customFormat="false" ht="15" hidden="false" customHeight="false" outlineLevel="0" collapsed="false">
      <c r="A9" s="15" t="n">
        <v>46269</v>
      </c>
      <c r="B9" s="16" t="s">
        <v>42</v>
      </c>
      <c r="C9" s="16" t="s">
        <v>43</v>
      </c>
      <c r="D9" s="16" t="n">
        <v>3</v>
      </c>
      <c r="E9" s="17" t="n">
        <v>2.5</v>
      </c>
      <c r="F9" s="18" t="n">
        <f aca="false">D9*E9</f>
        <v>7.5</v>
      </c>
    </row>
    <row r="10" customFormat="false" ht="15" hidden="false" customHeight="false" outlineLevel="0" collapsed="false">
      <c r="A10" s="15" t="n">
        <v>46270</v>
      </c>
      <c r="B10" s="16" t="s">
        <v>51</v>
      </c>
      <c r="C10" s="16" t="s">
        <v>40</v>
      </c>
      <c r="D10" s="16" t="n">
        <v>3</v>
      </c>
      <c r="E10" s="17" t="n">
        <v>1.5</v>
      </c>
      <c r="F10" s="18" t="n">
        <f aca="false">D10*E10</f>
        <v>4.5</v>
      </c>
    </row>
    <row r="11" customFormat="false" ht="15" hidden="false" customHeight="false" outlineLevel="0" collapsed="false">
      <c r="A11" s="15" t="n">
        <v>46270</v>
      </c>
      <c r="B11" s="16" t="s">
        <v>42</v>
      </c>
      <c r="C11" s="16" t="s">
        <v>43</v>
      </c>
      <c r="D11" s="16" t="n">
        <v>2</v>
      </c>
      <c r="E11" s="17" t="n">
        <v>2.5</v>
      </c>
      <c r="F11" s="18" t="n">
        <f aca="false">D11*E11</f>
        <v>5</v>
      </c>
    </row>
    <row r="12" customFormat="false" ht="15" hidden="false" customHeight="false" outlineLevel="0" collapsed="false">
      <c r="A12" s="15" t="n">
        <v>46271</v>
      </c>
      <c r="B12" s="16" t="s">
        <v>48</v>
      </c>
      <c r="C12" s="16" t="s">
        <v>46</v>
      </c>
      <c r="D12" s="16" t="n">
        <v>8</v>
      </c>
      <c r="E12" s="17" t="n">
        <v>1</v>
      </c>
      <c r="F12" s="18" t="n">
        <f aca="false">D12*E12</f>
        <v>8</v>
      </c>
    </row>
    <row r="13" customFormat="false" ht="15" hidden="false" customHeight="false" outlineLevel="0" collapsed="false">
      <c r="A13" s="15" t="n">
        <v>46271</v>
      </c>
      <c r="B13" s="16" t="s">
        <v>45</v>
      </c>
      <c r="C13" s="16" t="s">
        <v>46</v>
      </c>
      <c r="D13" s="16" t="n">
        <v>19</v>
      </c>
      <c r="E13" s="17" t="n">
        <v>1.2</v>
      </c>
      <c r="F13" s="18" t="n">
        <f aca="false">D13*E13</f>
        <v>22.8</v>
      </c>
    </row>
    <row r="14" customFormat="false" ht="15" hidden="false" customHeight="false" outlineLevel="0" collapsed="false">
      <c r="A14" s="15" t="n">
        <v>46272</v>
      </c>
      <c r="B14" s="16" t="s">
        <v>42</v>
      </c>
      <c r="C14" s="16" t="s">
        <v>43</v>
      </c>
      <c r="D14" s="16" t="n">
        <v>2</v>
      </c>
      <c r="E14" s="17" t="n">
        <v>2.5</v>
      </c>
      <c r="F14" s="18" t="n">
        <f aca="false">D14*E14</f>
        <v>5</v>
      </c>
    </row>
    <row r="15" customFormat="false" ht="15" hidden="false" customHeight="false" outlineLevel="0" collapsed="false">
      <c r="A15" s="15" t="n">
        <v>46272</v>
      </c>
      <c r="B15" s="16" t="s">
        <v>51</v>
      </c>
      <c r="C15" s="16" t="s">
        <v>40</v>
      </c>
      <c r="D15" s="16" t="n">
        <v>2</v>
      </c>
      <c r="E15" s="17" t="n">
        <v>1.5</v>
      </c>
      <c r="F15" s="18" t="n">
        <f aca="false">D15*E15</f>
        <v>3</v>
      </c>
    </row>
    <row r="16" customFormat="false" ht="15" hidden="false" customHeight="false" outlineLevel="0" collapsed="false">
      <c r="A16" s="15" t="n">
        <v>46273</v>
      </c>
      <c r="B16" s="16" t="s">
        <v>54</v>
      </c>
      <c r="C16" s="16" t="s">
        <v>46</v>
      </c>
      <c r="D16" s="16" t="n">
        <v>10</v>
      </c>
      <c r="E16" s="17" t="n">
        <v>0.5</v>
      </c>
      <c r="F16" s="18" t="n">
        <f aca="false">D16*E16</f>
        <v>5</v>
      </c>
    </row>
    <row r="17" customFormat="false" ht="15" hidden="false" customHeight="false" outlineLevel="0" collapsed="false">
      <c r="A17" s="15" t="n">
        <v>46273</v>
      </c>
      <c r="B17" s="16" t="s">
        <v>42</v>
      </c>
      <c r="C17" s="16" t="s">
        <v>43</v>
      </c>
      <c r="D17" s="16" t="n">
        <v>5</v>
      </c>
      <c r="E17" s="17" t="n">
        <v>2.5</v>
      </c>
      <c r="F17" s="18" t="n">
        <f aca="false">D17*E17</f>
        <v>12.5</v>
      </c>
    </row>
    <row r="18" customFormat="false" ht="15" hidden="false" customHeight="false" outlineLevel="0" collapsed="false">
      <c r="A18" s="15" t="n">
        <v>46274</v>
      </c>
      <c r="B18" s="16" t="s">
        <v>48</v>
      </c>
      <c r="C18" s="16" t="s">
        <v>46</v>
      </c>
      <c r="D18" s="16" t="n">
        <v>19</v>
      </c>
      <c r="E18" s="17" t="n">
        <v>1</v>
      </c>
      <c r="F18" s="18" t="n">
        <f aca="false">D18*E18</f>
        <v>19</v>
      </c>
    </row>
    <row r="19" customFormat="false" ht="15" hidden="false" customHeight="false" outlineLevel="0" collapsed="false">
      <c r="A19" s="15" t="n">
        <v>46274</v>
      </c>
      <c r="B19" s="16" t="s">
        <v>55</v>
      </c>
      <c r="C19" s="16" t="s">
        <v>40</v>
      </c>
      <c r="D19" s="16" t="n">
        <v>18</v>
      </c>
      <c r="E19" s="17" t="n">
        <v>3</v>
      </c>
      <c r="F19" s="18" t="n">
        <f aca="false">D19*E19</f>
        <v>54</v>
      </c>
    </row>
    <row r="20" customFormat="false" ht="15" hidden="false" customHeight="false" outlineLevel="0" collapsed="false">
      <c r="A20" s="15" t="n">
        <v>46275</v>
      </c>
      <c r="B20" s="16" t="s">
        <v>54</v>
      </c>
      <c r="C20" s="16" t="s">
        <v>46</v>
      </c>
      <c r="D20" s="16" t="n">
        <v>4</v>
      </c>
      <c r="E20" s="17" t="n">
        <v>0.5</v>
      </c>
      <c r="F20" s="18" t="n">
        <f aca="false">D20*E20</f>
        <v>2</v>
      </c>
    </row>
    <row r="21" customFormat="false" ht="15" hidden="false" customHeight="false" outlineLevel="0" collapsed="false">
      <c r="A21" s="15" t="n">
        <v>46275</v>
      </c>
      <c r="B21" s="16" t="s">
        <v>51</v>
      </c>
      <c r="C21" s="16" t="s">
        <v>40</v>
      </c>
      <c r="D21" s="16" t="n">
        <v>12</v>
      </c>
      <c r="E21" s="17" t="n">
        <v>1.5</v>
      </c>
      <c r="F21" s="18" t="n">
        <f aca="false">D21*E21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2026-10-18T22:44:22Z</dcterms:created>
  <dc:creator>openpyxl</dc:creator>
  <dc:description/>
  <dc:language>en-US</dc:language>
  <cp:lastModifiedBy/>
  <dcterms:modified xsi:type="dcterms:W3CDTF">2026-10-18T22:44:22Z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